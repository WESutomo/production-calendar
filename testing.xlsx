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kkoh\Desktop\"/>
    </mc:Choice>
  </mc:AlternateContent>
  <xr:revisionPtr revIDLastSave="0" documentId="13_ncr:1_{F3FED97B-5A0F-4968-8267-5BA502A24473}" xr6:coauthVersionLast="47" xr6:coauthVersionMax="47" xr10:uidLastSave="{00000000-0000-0000-0000-000000000000}"/>
  <bookViews>
    <workbookView xWindow="-120" yWindow="-120" windowWidth="20730" windowHeight="11040" xr2:uid="{BED8EA83-AEA6-4D73-A6A3-684E7D01F756}"/>
  </bookViews>
  <sheets>
    <sheet name="schedulling system" sheetId="5" r:id="rId1"/>
    <sheet name="CYCLETIME" sheetId="2" r:id="rId2"/>
    <sheet name="PRODUCTION ORDER" sheetId="4" r:id="rId3"/>
    <sheet name="PUBLIC HOLIDAY" sheetId="3" r:id="rId4"/>
  </sheets>
  <externalReferences>
    <externalReference r:id="rId5"/>
  </externalReferences>
  <definedNames>
    <definedName name="Actual" localSheetId="1">(PeriodInActual*(#REF!&gt;0))*PeriodInPlan</definedName>
    <definedName name="Actual">(PeriodInActual*(#REF!&gt;0))*PeriodInPlan</definedName>
    <definedName name="ActualBeyond" localSheetId="1">PeriodInActual*(#REF!&gt;0)</definedName>
    <definedName name="ActualBeyond">PeriodInActual*(#REF!&gt;0)</definedName>
    <definedName name="PercentComplete" localSheetId="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 localSheetId="1">PeriodInPlan*(#REF!&gt;0)</definedName>
    <definedName name="Plan">PeriodInPlan*(#REF!&gt;0)</definedName>
    <definedName name="_xlnm.Print_Area" localSheetId="1">CYCLETIME!$A$4:$U$6</definedName>
    <definedName name="_xlnm.Print_Titles" localSheetId="1">CYCLETIME!$4:$4</definedName>
    <definedName name="TitleRegion..BO6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2" l="1"/>
  <c r="J7" i="2"/>
  <c r="K6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</calcChain>
</file>

<file path=xl/sharedStrings.xml><?xml version="1.0" encoding="utf-8"?>
<sst xmlns="http://schemas.openxmlformats.org/spreadsheetml/2006/main" count="121" uniqueCount="79">
  <si>
    <t>PART NUMBER</t>
  </si>
  <si>
    <t>BATCH</t>
  </si>
  <si>
    <t>QTY</t>
  </si>
  <si>
    <t>LASER
START</t>
  </si>
  <si>
    <t>LASER
END</t>
  </si>
  <si>
    <t>TAPPING</t>
  </si>
  <si>
    <t>CNC 1
END</t>
  </si>
  <si>
    <t>SAND BLASTING END</t>
  </si>
  <si>
    <t>ROBOT WELDING 1
END</t>
  </si>
  <si>
    <t>MANUAL WELDING
END</t>
  </si>
  <si>
    <t>MANUAL WELDING 2</t>
  </si>
  <si>
    <t>GRINDING
END</t>
  </si>
  <si>
    <t>CNC 2
END</t>
  </si>
  <si>
    <t>BUFFING
END</t>
  </si>
  <si>
    <t>QA
END</t>
  </si>
  <si>
    <t>PLATING
END</t>
  </si>
  <si>
    <t>ASSEMBLY</t>
  </si>
  <si>
    <t>OUTGOING QA 
END</t>
  </si>
  <si>
    <t>PACKING
END</t>
  </si>
  <si>
    <t>SHIPMENT</t>
  </si>
  <si>
    <t>FMWB3840100000-05-0K</t>
  </si>
  <si>
    <t>FMWB3830103000-04-0G</t>
  </si>
  <si>
    <t>POWER M</t>
  </si>
  <si>
    <t>FM079790401010-01-0C</t>
  </si>
  <si>
    <t>FLEX LOWER LOT 1</t>
  </si>
  <si>
    <t>FLEX UPPER LOT 1</t>
  </si>
  <si>
    <t>REMARK</t>
  </si>
  <si>
    <t>NA</t>
  </si>
  <si>
    <t>working hr per day</t>
  </si>
  <si>
    <t>work day per wk</t>
  </si>
  <si>
    <t>Working hr per WK</t>
  </si>
  <si>
    <t>CYCLE TIME (HOURS)</t>
  </si>
  <si>
    <t>Date</t>
  </si>
  <si>
    <t>Weekdays</t>
  </si>
  <si>
    <t>Remark</t>
  </si>
  <si>
    <t>PH</t>
  </si>
  <si>
    <t>Replacement</t>
  </si>
  <si>
    <t>RPO-2026-011764</t>
  </si>
  <si>
    <t>Y390 UPPER LOT22</t>
  </si>
  <si>
    <t>RPO-2026-013305</t>
  </si>
  <si>
    <t>Y390 UPPER LOT23</t>
  </si>
  <si>
    <t>RPO-2026-013306</t>
  </si>
  <si>
    <t>Y390 UPPER LOT24</t>
  </si>
  <si>
    <t>RPO-2026-013307</t>
  </si>
  <si>
    <t>Y390 UPPER LOT25</t>
  </si>
  <si>
    <t>RPO-2026-013308</t>
  </si>
  <si>
    <t>Y390 UPPER LOT26</t>
  </si>
  <si>
    <t>RPO-2026-013309</t>
  </si>
  <si>
    <t>Y390 UPPER LOT27</t>
  </si>
  <si>
    <t>Prod. Order No.</t>
  </si>
  <si>
    <t>Item No.</t>
  </si>
  <si>
    <t>Description 2</t>
  </si>
  <si>
    <t>Starting Date-Time</t>
  </si>
  <si>
    <t>Quantity</t>
  </si>
  <si>
    <t>RPO-2026-011760</t>
  </si>
  <si>
    <t/>
  </si>
  <si>
    <t>RPO-2026-013310</t>
  </si>
  <si>
    <t>Y390 LOWER LOT23</t>
  </si>
  <si>
    <t>RPO-2026-013311</t>
  </si>
  <si>
    <t>Y390 LOWER LOT24</t>
  </si>
  <si>
    <t>RPO-2026-013312</t>
  </si>
  <si>
    <t>Y390 LOWER LOT25</t>
  </si>
  <si>
    <t>RPO-2026-013313</t>
  </si>
  <si>
    <t>Y390 LOWER LOT26</t>
  </si>
  <si>
    <t>RPO-2026-013314</t>
  </si>
  <si>
    <t>Y390 LOWER LOT27</t>
  </si>
  <si>
    <t>RPO-2026-010771</t>
  </si>
  <si>
    <t>POWER M LOT 12</t>
  </si>
  <si>
    <t>RPO-2026-010772</t>
  </si>
  <si>
    <t>POWER M LOT 13</t>
  </si>
  <si>
    <t xml:space="preserve">example: </t>
  </si>
  <si>
    <t>FMWB3830103000-04-0G, CAM need 9 hours, laser need 9.5 hours</t>
  </si>
  <si>
    <t>laser working hours per day is 9.5 hours</t>
  </si>
  <si>
    <t>you may understand from this worksheet, each process cycle time for each model (per set)</t>
  </si>
  <si>
    <t>Example:</t>
  </si>
  <si>
    <t xml:space="preserve">you may also refer to "production order", </t>
  </si>
  <si>
    <t>Please exclude if the date fall at  "public holiday" list</t>
  </si>
  <si>
    <t>RPO-2026-011764, total quantity needed is 5 sets, which planned start at 24/08/2026. So for LASER, you need multiple LASER hours * quantity  9.5 * 5 = 47.5 hours, means planned laser will complete at 24/08/2026</t>
  </si>
  <si>
    <t>we need to show all planning in calender made as "scheduelling system"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</si>
</sst>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:ss;@"/>
    <numFmt numFmtId="165" formatCode="#,##0.#####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7" fillId="3" borderId="0" xfId="0" applyNumberFormat="1" applyFont="1" applyFill="1"/>
  </cellXfs>
  <cellStyles count="1">
    <cellStyle name="Normal" xfId="0" builtinId="0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21</xdr:row>
      <xdr:rowOff>67243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1BC89-9EC8-13CB-C474-3466AB6A7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40677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kkoh\Desktop\KNS%20New%20Plan%20Format.xlsx" TargetMode="External"/><Relationship Id="rId1" Type="http://schemas.openxmlformats.org/officeDocument/2006/relationships/externalLinkPath" Target="KNS%20New%20Plan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AMA"/>
      <sheetName val="Master No working day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144A-1A47-4E72-BB7F-E7C5BAB84DB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3CE7-B5B1-42DE-8CF8-627BDCED00F6}">
  <sheetPr>
    <tabColor rgb="FFFFFF00"/>
  </sheetPr>
  <dimension ref="A1:W28"/>
  <sheetViews>
    <sheetView zoomScale="60" zoomScaleNormal="60" zoomScaleSheetLayoutView="40" workbookViewId="0">
      <pane ySplit="4" topLeftCell="A5" activePane="bottomLeft" state="frozen"/>
      <selection pane="bottomLeft" activeCell="A29" sqref="A29"/>
    </sheetView>
  </sheetViews>
  <sheetFormatPr defaultRowHeight="15" x14ac:dyDescent="0.25"/>
  <cols>
    <col min="1" max="1" width="37.42578125" customWidth="1"/>
    <col min="2" max="2" width="26.140625" bestFit="1" customWidth="1"/>
    <col min="3" max="3" width="8.5703125" customWidth="1"/>
    <col min="4" max="4" width="28.7109375" bestFit="1" customWidth="1"/>
    <col min="5" max="5" width="14.85546875" customWidth="1"/>
    <col min="6" max="7" width="16.28515625" customWidth="1"/>
    <col min="8" max="8" width="24.42578125" customWidth="1"/>
    <col min="9" max="19" width="16.28515625" customWidth="1"/>
    <col min="20" max="20" width="16.85546875" customWidth="1"/>
    <col min="21" max="21" width="16.28515625" customWidth="1"/>
    <col min="22" max="22" width="50.140625" bestFit="1" customWidth="1"/>
    <col min="23" max="23" width="15.7109375" customWidth="1"/>
    <col min="24" max="24" width="32.28515625" customWidth="1"/>
    <col min="25" max="26" width="17.28515625" customWidth="1"/>
    <col min="27" max="27" width="22.85546875" bestFit="1" customWidth="1"/>
    <col min="28" max="28" width="29.85546875" bestFit="1" customWidth="1"/>
    <col min="29" max="29" width="23.42578125" bestFit="1" customWidth="1"/>
    <col min="30" max="33" width="27.140625" customWidth="1"/>
  </cols>
  <sheetData>
    <row r="1" spans="1:23" x14ac:dyDescent="0.25">
      <c r="D1" t="s">
        <v>30</v>
      </c>
      <c r="E1" s="5">
        <f>E3*6</f>
        <v>57</v>
      </c>
      <c r="F1" s="5">
        <f>F3*6</f>
        <v>57</v>
      </c>
      <c r="G1" s="5">
        <f>G3*6</f>
        <v>57</v>
      </c>
      <c r="H1" s="5">
        <f>H3*6</f>
        <v>66</v>
      </c>
      <c r="I1" s="5">
        <f>I3*6</f>
        <v>57</v>
      </c>
      <c r="J1" s="5">
        <f>J3*6</f>
        <v>57</v>
      </c>
      <c r="K1" s="5">
        <f>K3*6</f>
        <v>57</v>
      </c>
      <c r="L1" s="5">
        <f>L3*6</f>
        <v>57</v>
      </c>
      <c r="M1" s="5">
        <f>M3*6</f>
        <v>57</v>
      </c>
      <c r="N1" s="5">
        <f>N3*6</f>
        <v>57</v>
      </c>
      <c r="O1" s="5">
        <f>O3*6</f>
        <v>57</v>
      </c>
      <c r="P1" s="5">
        <f>P3*6</f>
        <v>57</v>
      </c>
      <c r="Q1" s="5">
        <f>Q3*6</f>
        <v>57</v>
      </c>
      <c r="R1" s="5">
        <f>R3*6</f>
        <v>57</v>
      </c>
      <c r="S1" s="5">
        <f>S3*6</f>
        <v>57</v>
      </c>
      <c r="T1" s="5">
        <f>T3*6</f>
        <v>57</v>
      </c>
      <c r="U1" s="5"/>
    </row>
    <row r="2" spans="1:23" x14ac:dyDescent="0.25">
      <c r="D2" t="s">
        <v>29</v>
      </c>
      <c r="E2" s="5">
        <v>6</v>
      </c>
      <c r="F2" s="5">
        <v>6</v>
      </c>
      <c r="G2" s="5">
        <v>6</v>
      </c>
      <c r="H2" s="5">
        <v>6</v>
      </c>
      <c r="I2" s="5">
        <v>6</v>
      </c>
      <c r="J2" s="5">
        <v>6</v>
      </c>
      <c r="K2" s="5">
        <v>6</v>
      </c>
      <c r="L2" s="5">
        <v>6</v>
      </c>
      <c r="M2" s="5">
        <v>6</v>
      </c>
      <c r="N2" s="5">
        <v>6</v>
      </c>
      <c r="O2" s="5">
        <v>6</v>
      </c>
      <c r="P2" s="5">
        <v>6</v>
      </c>
      <c r="Q2" s="5">
        <v>6</v>
      </c>
      <c r="R2" s="5">
        <v>6</v>
      </c>
      <c r="S2" s="5">
        <v>6</v>
      </c>
      <c r="T2" s="5">
        <v>6</v>
      </c>
      <c r="U2" s="5">
        <v>5</v>
      </c>
    </row>
    <row r="3" spans="1:23" x14ac:dyDescent="0.25">
      <c r="D3" t="s">
        <v>28</v>
      </c>
      <c r="E3" s="5">
        <v>9.5</v>
      </c>
      <c r="F3" s="5">
        <v>9.5</v>
      </c>
      <c r="G3" s="5">
        <v>9.5</v>
      </c>
      <c r="H3" s="5">
        <v>11</v>
      </c>
      <c r="I3" s="5">
        <v>9.5</v>
      </c>
      <c r="J3" s="5">
        <v>9.5</v>
      </c>
      <c r="K3" s="5">
        <v>9.5</v>
      </c>
      <c r="L3" s="5">
        <v>9.5</v>
      </c>
      <c r="M3" s="5">
        <v>9.5</v>
      </c>
      <c r="N3" s="5">
        <v>9.5</v>
      </c>
      <c r="O3" s="5">
        <v>9.5</v>
      </c>
      <c r="P3" s="5">
        <v>9.5</v>
      </c>
      <c r="Q3" s="5">
        <v>9.5</v>
      </c>
      <c r="R3" s="5">
        <v>9.5</v>
      </c>
      <c r="S3" s="5">
        <v>9.5</v>
      </c>
      <c r="T3" s="5">
        <v>9.5</v>
      </c>
      <c r="U3" s="5"/>
    </row>
    <row r="4" spans="1:23" s="4" customFormat="1" ht="60" customHeight="1" x14ac:dyDescent="0.25">
      <c r="A4" s="7" t="s">
        <v>0</v>
      </c>
      <c r="B4" s="7" t="s">
        <v>1</v>
      </c>
      <c r="C4" s="7" t="s">
        <v>2</v>
      </c>
      <c r="D4" s="7"/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O4" s="7" t="s">
        <v>13</v>
      </c>
      <c r="P4" s="7" t="s">
        <v>14</v>
      </c>
      <c r="Q4" s="7" t="s">
        <v>15</v>
      </c>
      <c r="R4" s="7" t="s">
        <v>16</v>
      </c>
      <c r="S4" s="7" t="s">
        <v>17</v>
      </c>
      <c r="T4" s="7" t="s">
        <v>18</v>
      </c>
      <c r="U4" s="7" t="s">
        <v>19</v>
      </c>
      <c r="V4" s="6" t="s">
        <v>26</v>
      </c>
    </row>
    <row r="5" spans="1:23" s="1" customFormat="1" ht="30" customHeight="1" x14ac:dyDescent="0.3">
      <c r="A5" s="8" t="s">
        <v>21</v>
      </c>
      <c r="B5" s="8" t="s">
        <v>25</v>
      </c>
      <c r="C5" s="3">
        <v>1</v>
      </c>
      <c r="D5" s="3" t="s">
        <v>31</v>
      </c>
      <c r="E5" s="9">
        <v>9.5</v>
      </c>
      <c r="F5" s="9">
        <v>9.5</v>
      </c>
      <c r="G5" s="9" t="s">
        <v>27</v>
      </c>
      <c r="H5" s="9">
        <v>9.5</v>
      </c>
      <c r="I5" s="9">
        <v>9.5</v>
      </c>
      <c r="J5" s="9">
        <v>9.5</v>
      </c>
      <c r="K5" s="9">
        <v>9.5</v>
      </c>
      <c r="L5" s="9" t="s">
        <v>27</v>
      </c>
      <c r="M5" s="9">
        <v>4.5</v>
      </c>
      <c r="N5" s="9">
        <v>13</v>
      </c>
      <c r="O5" s="9">
        <v>9.5</v>
      </c>
      <c r="P5" s="9">
        <v>4</v>
      </c>
      <c r="Q5" s="9">
        <v>6</v>
      </c>
      <c r="R5" s="9" t="s">
        <v>27</v>
      </c>
      <c r="S5" s="9">
        <v>4</v>
      </c>
      <c r="T5" s="9"/>
      <c r="U5" s="9"/>
      <c r="V5" s="5"/>
      <c r="W5" s="2"/>
    </row>
    <row r="6" spans="1:23" s="1" customFormat="1" ht="30" customHeight="1" x14ac:dyDescent="0.3">
      <c r="A6" s="8" t="s">
        <v>20</v>
      </c>
      <c r="B6" s="8" t="s">
        <v>24</v>
      </c>
      <c r="C6" s="3">
        <v>1</v>
      </c>
      <c r="D6" s="3" t="s">
        <v>31</v>
      </c>
      <c r="E6" s="9">
        <v>9.5</v>
      </c>
      <c r="F6" s="9">
        <v>9.5</v>
      </c>
      <c r="G6" s="9" t="s">
        <v>27</v>
      </c>
      <c r="H6" s="9">
        <v>9.5</v>
      </c>
      <c r="I6" s="9">
        <v>9.5</v>
      </c>
      <c r="J6" s="9">
        <v>9.5</v>
      </c>
      <c r="K6" s="9">
        <f>9.5+4</f>
        <v>13.5</v>
      </c>
      <c r="L6" s="9" t="s">
        <v>27</v>
      </c>
      <c r="M6" s="9">
        <v>4.5</v>
      </c>
      <c r="N6" s="9">
        <v>4.5</v>
      </c>
      <c r="O6" s="9">
        <v>9.5</v>
      </c>
      <c r="P6" s="9">
        <v>4</v>
      </c>
      <c r="Q6" s="9">
        <v>6</v>
      </c>
      <c r="R6" s="9" t="s">
        <v>27</v>
      </c>
      <c r="S6" s="9">
        <v>4</v>
      </c>
      <c r="T6" s="9"/>
      <c r="U6" s="9"/>
      <c r="V6" s="5"/>
      <c r="W6" s="2"/>
    </row>
    <row r="7" spans="1:23" s="1" customFormat="1" ht="30" customHeight="1" x14ac:dyDescent="0.3">
      <c r="A7" s="8" t="s">
        <v>23</v>
      </c>
      <c r="B7" s="8" t="s">
        <v>22</v>
      </c>
      <c r="C7" s="3">
        <v>1</v>
      </c>
      <c r="D7" s="3" t="s">
        <v>31</v>
      </c>
      <c r="E7" s="9">
        <v>9.5</v>
      </c>
      <c r="F7" s="9">
        <v>9.5</v>
      </c>
      <c r="G7" s="9">
        <v>9.5</v>
      </c>
      <c r="H7" s="9" t="s">
        <v>27</v>
      </c>
      <c r="I7" s="9">
        <v>9.5</v>
      </c>
      <c r="J7" s="9">
        <f>2*9.5</f>
        <v>19</v>
      </c>
      <c r="K7" s="9">
        <v>9.5</v>
      </c>
      <c r="L7" s="9">
        <f>2*9.5</f>
        <v>19</v>
      </c>
      <c r="M7" s="9" t="s">
        <v>27</v>
      </c>
      <c r="N7" s="9">
        <v>4</v>
      </c>
      <c r="O7" s="9">
        <v>9.5</v>
      </c>
      <c r="P7" s="9" t="s">
        <v>27</v>
      </c>
      <c r="Q7" s="9">
        <v>5</v>
      </c>
      <c r="R7" s="9">
        <v>5</v>
      </c>
      <c r="S7" s="9" t="s">
        <v>27</v>
      </c>
      <c r="T7" s="9" t="s">
        <v>27</v>
      </c>
      <c r="U7" s="9"/>
      <c r="V7" s="5"/>
      <c r="W7" s="5"/>
    </row>
    <row r="15" spans="1:23" x14ac:dyDescent="0.25">
      <c r="A15" t="s">
        <v>73</v>
      </c>
    </row>
    <row r="16" spans="1:23" x14ac:dyDescent="0.25">
      <c r="A16" t="s">
        <v>70</v>
      </c>
    </row>
    <row r="17" spans="1:1" x14ac:dyDescent="0.25">
      <c r="A17" t="s">
        <v>71</v>
      </c>
    </row>
    <row r="19" spans="1:1" x14ac:dyDescent="0.25">
      <c r="A19" t="s">
        <v>72</v>
      </c>
    </row>
    <row r="21" spans="1:1" x14ac:dyDescent="0.25">
      <c r="A21" t="s">
        <v>75</v>
      </c>
    </row>
    <row r="23" spans="1:1" x14ac:dyDescent="0.25">
      <c r="A23" t="s">
        <v>74</v>
      </c>
    </row>
    <row r="24" spans="1:1" x14ac:dyDescent="0.25">
      <c r="A24" t="s">
        <v>77</v>
      </c>
    </row>
    <row r="26" spans="1:1" x14ac:dyDescent="0.25">
      <c r="A26" t="s">
        <v>76</v>
      </c>
    </row>
    <row r="28" spans="1:1" x14ac:dyDescent="0.25">
      <c r="A28" t="s">
        <v>78</v>
      </c>
    </row>
  </sheetData>
  <pageMargins left="0" right="0" top="0" bottom="0" header="0.31496062992125984" footer="0.31496062992125984"/>
  <pageSetup paperSize="8" scale="4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F6C4-279C-4F60-9AE5-6838A20DC09C}">
  <dimension ref="A1:E15"/>
  <sheetViews>
    <sheetView workbookViewId="0">
      <selection activeCell="H8" sqref="H8"/>
    </sheetView>
  </sheetViews>
  <sheetFormatPr defaultRowHeight="15" x14ac:dyDescent="0.25"/>
  <cols>
    <col min="1" max="1" width="22.28515625" customWidth="1"/>
    <col min="2" max="2" width="28.42578125" customWidth="1"/>
    <col min="3" max="3" width="22.140625" customWidth="1"/>
    <col min="4" max="4" width="26" customWidth="1"/>
    <col min="5" max="5" width="12.28515625" customWidth="1"/>
  </cols>
  <sheetData>
    <row r="1" spans="1:5" x14ac:dyDescent="0.25">
      <c r="A1" s="15" t="s">
        <v>49</v>
      </c>
      <c r="B1" s="15" t="s">
        <v>50</v>
      </c>
      <c r="C1" s="15" t="s">
        <v>51</v>
      </c>
      <c r="D1" s="15" t="s">
        <v>52</v>
      </c>
      <c r="E1" s="15" t="s">
        <v>53</v>
      </c>
    </row>
    <row r="2" spans="1:5" x14ac:dyDescent="0.25">
      <c r="A2" s="12" t="s">
        <v>37</v>
      </c>
      <c r="B2" s="12" t="s">
        <v>21</v>
      </c>
      <c r="C2" s="12" t="s">
        <v>38</v>
      </c>
      <c r="D2" s="13">
        <v>46258.75</v>
      </c>
      <c r="E2" s="14">
        <v>1</v>
      </c>
    </row>
    <row r="3" spans="1:5" x14ac:dyDescent="0.25">
      <c r="A3" s="12" t="s">
        <v>39</v>
      </c>
      <c r="B3" s="12" t="s">
        <v>21</v>
      </c>
      <c r="C3" s="12" t="s">
        <v>40</v>
      </c>
      <c r="D3" s="13">
        <v>46261.75</v>
      </c>
      <c r="E3" s="14">
        <v>1</v>
      </c>
    </row>
    <row r="4" spans="1:5" x14ac:dyDescent="0.25">
      <c r="A4" s="12" t="s">
        <v>41</v>
      </c>
      <c r="B4" s="12" t="s">
        <v>21</v>
      </c>
      <c r="C4" s="12" t="s">
        <v>42</v>
      </c>
      <c r="D4" s="13">
        <v>46273.75</v>
      </c>
      <c r="E4" s="14">
        <v>1</v>
      </c>
    </row>
    <row r="5" spans="1:5" x14ac:dyDescent="0.25">
      <c r="A5" s="12" t="s">
        <v>43</v>
      </c>
      <c r="B5" s="12" t="s">
        <v>21</v>
      </c>
      <c r="C5" s="12" t="s">
        <v>44</v>
      </c>
      <c r="D5" s="13">
        <v>46283.75</v>
      </c>
      <c r="E5" s="14">
        <v>1</v>
      </c>
    </row>
    <row r="6" spans="1:5" x14ac:dyDescent="0.25">
      <c r="A6" s="12" t="s">
        <v>45</v>
      </c>
      <c r="B6" s="12" t="s">
        <v>21</v>
      </c>
      <c r="C6" s="12" t="s">
        <v>46</v>
      </c>
      <c r="D6" s="13">
        <v>46288.75</v>
      </c>
      <c r="E6" s="14">
        <v>1</v>
      </c>
    </row>
    <row r="7" spans="1:5" x14ac:dyDescent="0.25">
      <c r="A7" s="12" t="s">
        <v>47</v>
      </c>
      <c r="B7" s="12" t="s">
        <v>21</v>
      </c>
      <c r="C7" s="12" t="s">
        <v>48</v>
      </c>
      <c r="D7" s="13">
        <v>46294.75</v>
      </c>
      <c r="E7" s="14">
        <v>1</v>
      </c>
    </row>
    <row r="8" spans="1:5" x14ac:dyDescent="0.25">
      <c r="A8" s="12" t="s">
        <v>54</v>
      </c>
      <c r="B8" s="12" t="s">
        <v>20</v>
      </c>
      <c r="C8" s="12" t="s">
        <v>55</v>
      </c>
      <c r="D8" s="13">
        <v>46258.75</v>
      </c>
      <c r="E8" s="14">
        <v>1</v>
      </c>
    </row>
    <row r="9" spans="1:5" x14ac:dyDescent="0.25">
      <c r="A9" s="12" t="s">
        <v>56</v>
      </c>
      <c r="B9" s="12" t="s">
        <v>20</v>
      </c>
      <c r="C9" s="12" t="s">
        <v>57</v>
      </c>
      <c r="D9" s="13">
        <v>46261.75</v>
      </c>
      <c r="E9" s="14">
        <v>1</v>
      </c>
    </row>
    <row r="10" spans="1:5" x14ac:dyDescent="0.25">
      <c r="A10" s="12" t="s">
        <v>58</v>
      </c>
      <c r="B10" s="12" t="s">
        <v>20</v>
      </c>
      <c r="C10" s="12" t="s">
        <v>59</v>
      </c>
      <c r="D10" s="13">
        <v>46273.75</v>
      </c>
      <c r="E10" s="14">
        <v>1</v>
      </c>
    </row>
    <row r="11" spans="1:5" x14ac:dyDescent="0.25">
      <c r="A11" s="12" t="s">
        <v>60</v>
      </c>
      <c r="B11" s="12" t="s">
        <v>20</v>
      </c>
      <c r="C11" s="12" t="s">
        <v>61</v>
      </c>
      <c r="D11" s="13">
        <v>46283.75</v>
      </c>
      <c r="E11" s="14">
        <v>1</v>
      </c>
    </row>
    <row r="12" spans="1:5" x14ac:dyDescent="0.25">
      <c r="A12" s="12" t="s">
        <v>62</v>
      </c>
      <c r="B12" s="12" t="s">
        <v>20</v>
      </c>
      <c r="C12" s="12" t="s">
        <v>63</v>
      </c>
      <c r="D12" s="13">
        <v>46288.75</v>
      </c>
      <c r="E12" s="14">
        <v>1</v>
      </c>
    </row>
    <row r="13" spans="1:5" x14ac:dyDescent="0.25">
      <c r="A13" s="12" t="s">
        <v>64</v>
      </c>
      <c r="B13" s="12" t="s">
        <v>20</v>
      </c>
      <c r="C13" s="12" t="s">
        <v>65</v>
      </c>
      <c r="D13" s="13">
        <v>46294.75</v>
      </c>
      <c r="E13" s="14">
        <v>1</v>
      </c>
    </row>
    <row r="14" spans="1:5" x14ac:dyDescent="0.25">
      <c r="A14" s="12" t="s">
        <v>66</v>
      </c>
      <c r="B14" s="12" t="s">
        <v>23</v>
      </c>
      <c r="C14" s="12" t="s">
        <v>67</v>
      </c>
      <c r="D14" s="13">
        <v>46251.75</v>
      </c>
      <c r="E14" s="14">
        <v>1</v>
      </c>
    </row>
    <row r="15" spans="1:5" x14ac:dyDescent="0.25">
      <c r="A15" s="12" t="s">
        <v>68</v>
      </c>
      <c r="B15" s="12" t="s">
        <v>23</v>
      </c>
      <c r="C15" s="12" t="s">
        <v>69</v>
      </c>
      <c r="D15" s="13">
        <v>46251.75</v>
      </c>
      <c r="E15" s="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C838-8937-4909-ACE7-4F6FCA6BEB1D}">
  <dimension ref="A1:C19"/>
  <sheetViews>
    <sheetView workbookViewId="0">
      <selection activeCell="E3" sqref="E3"/>
    </sheetView>
  </sheetViews>
  <sheetFormatPr defaultRowHeight="15" x14ac:dyDescent="0.25"/>
  <cols>
    <col min="1" max="1" width="13.140625" customWidth="1"/>
    <col min="2" max="2" width="10.7109375" customWidth="1"/>
  </cols>
  <sheetData>
    <row r="1" spans="1:3" x14ac:dyDescent="0.25">
      <c r="A1" s="10" t="s">
        <v>32</v>
      </c>
      <c r="B1" s="10" t="s">
        <v>33</v>
      </c>
      <c r="C1" s="10" t="s">
        <v>34</v>
      </c>
    </row>
    <row r="2" spans="1:3" x14ac:dyDescent="0.25">
      <c r="A2" s="11">
        <v>46070</v>
      </c>
      <c r="B2">
        <v>2</v>
      </c>
      <c r="C2" t="s">
        <v>35</v>
      </c>
    </row>
    <row r="3" spans="1:3" x14ac:dyDescent="0.25">
      <c r="A3" s="11">
        <v>46071</v>
      </c>
      <c r="B3">
        <v>3</v>
      </c>
      <c r="C3" t="s">
        <v>35</v>
      </c>
    </row>
    <row r="4" spans="1:3" x14ac:dyDescent="0.25">
      <c r="A4" s="11">
        <v>46102</v>
      </c>
      <c r="B4">
        <v>6</v>
      </c>
      <c r="C4" t="s">
        <v>35</v>
      </c>
    </row>
    <row r="5" spans="1:3" x14ac:dyDescent="0.25">
      <c r="A5" s="11">
        <v>46103</v>
      </c>
      <c r="B5">
        <v>7</v>
      </c>
      <c r="C5" t="s">
        <v>35</v>
      </c>
    </row>
    <row r="6" spans="1:3" x14ac:dyDescent="0.25">
      <c r="A6" s="11">
        <v>46104</v>
      </c>
      <c r="B6">
        <v>1</v>
      </c>
      <c r="C6" t="s">
        <v>35</v>
      </c>
    </row>
    <row r="7" spans="1:3" x14ac:dyDescent="0.25">
      <c r="A7" s="11">
        <v>46105</v>
      </c>
      <c r="B7">
        <v>2</v>
      </c>
      <c r="C7" t="s">
        <v>35</v>
      </c>
    </row>
    <row r="8" spans="1:3" x14ac:dyDescent="0.25">
      <c r="A8" s="11">
        <v>46143</v>
      </c>
      <c r="B8">
        <v>5</v>
      </c>
      <c r="C8" t="s">
        <v>35</v>
      </c>
    </row>
    <row r="9" spans="1:3" x14ac:dyDescent="0.25">
      <c r="A9" s="11">
        <v>46169</v>
      </c>
      <c r="B9">
        <v>3</v>
      </c>
      <c r="C9" t="s">
        <v>35</v>
      </c>
    </row>
    <row r="10" spans="1:3" x14ac:dyDescent="0.25">
      <c r="A10" s="11">
        <v>46173</v>
      </c>
      <c r="B10">
        <v>7</v>
      </c>
      <c r="C10" t="s">
        <v>35</v>
      </c>
    </row>
    <row r="11" spans="1:3" x14ac:dyDescent="0.25">
      <c r="A11" s="11">
        <v>46174</v>
      </c>
      <c r="B11">
        <v>1</v>
      </c>
      <c r="C11" t="s">
        <v>36</v>
      </c>
    </row>
    <row r="12" spans="1:3" x14ac:dyDescent="0.25">
      <c r="A12" s="11">
        <v>46175</v>
      </c>
      <c r="B12">
        <v>2</v>
      </c>
      <c r="C12" t="s">
        <v>36</v>
      </c>
    </row>
    <row r="13" spans="1:3" x14ac:dyDescent="0.25">
      <c r="A13" s="11">
        <v>46190</v>
      </c>
      <c r="B13">
        <v>3</v>
      </c>
      <c r="C13" t="s">
        <v>35</v>
      </c>
    </row>
    <row r="14" spans="1:3" x14ac:dyDescent="0.25">
      <c r="A14" s="11">
        <v>46259</v>
      </c>
      <c r="B14">
        <v>2</v>
      </c>
      <c r="C14" t="s">
        <v>35</v>
      </c>
    </row>
    <row r="15" spans="1:3" x14ac:dyDescent="0.25">
      <c r="A15" s="11">
        <v>46265</v>
      </c>
      <c r="B15">
        <v>1</v>
      </c>
      <c r="C15" t="s">
        <v>35</v>
      </c>
    </row>
    <row r="16" spans="1:3" x14ac:dyDescent="0.25">
      <c r="A16" s="11">
        <v>46281</v>
      </c>
      <c r="B16">
        <v>3</v>
      </c>
      <c r="C16" t="s">
        <v>35</v>
      </c>
    </row>
    <row r="17" spans="1:3" x14ac:dyDescent="0.25">
      <c r="A17" s="11">
        <v>46334</v>
      </c>
      <c r="B17">
        <v>7</v>
      </c>
      <c r="C17" t="s">
        <v>35</v>
      </c>
    </row>
    <row r="18" spans="1:3" x14ac:dyDescent="0.25">
      <c r="A18" s="11">
        <v>46335</v>
      </c>
      <c r="B18">
        <v>1</v>
      </c>
      <c r="C18" t="s">
        <v>36</v>
      </c>
    </row>
    <row r="19" spans="1:3" x14ac:dyDescent="0.25">
      <c r="A19" s="11">
        <v>46381</v>
      </c>
      <c r="B19">
        <v>5</v>
      </c>
      <c r="C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schedulling system</vt:lpstr>
      <vt:lpstr>CYCLETIME</vt:lpstr>
      <vt:lpstr>PRODUCTION ORDER</vt:lpstr>
      <vt:lpstr>PUBLIC HOLIDAY</vt:lpstr>
      <vt:lpstr>CYCLETIME!Print_Area</vt:lpstr>
      <vt:lpstr>CYCLETIME!Print_Titles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 Ying Kiat</dc:creator>
  <cp:lastModifiedBy>Koh Ying Kiat</cp:lastModifiedBy>
  <dcterms:created xsi:type="dcterms:W3CDTF">2026-10-07T08:23:08Z</dcterms:created>
  <dcterms:modified xsi:type="dcterms:W3CDTF">2026-10-07T08:39:16Z</dcterms:modified>
</cp:coreProperties>
</file>